
<file path=[Content_Types].xml><?xml version="1.0" encoding="utf-8"?>
<Types xmlns="http://schemas.openxmlformats.org/package/2006/content-types"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6380" windowHeight="8196" tabRatio="500" firstSheet="1" activeTab="4"/>
  </bookViews>
  <sheets>
    <sheet name="Sales-Profit by Region" sheetId="1" r:id="rId1"/>
    <sheet name="Sales-Profit by Category" sheetId="2" r:id="rId2"/>
    <sheet name="Order Count by Ship Mode" sheetId="3" r:id="rId3"/>
    <sheet name="Profit Margin by Segment" sheetId="4" r:id="rId4"/>
    <sheet name="Refund-Cancel-Fail by Region" sheetId="5" r:id="rId5"/>
    <sheet name="Monthly Sales Trend" sheetId="6" r:id="rId6"/>
  </sheets>
  <calcPr calcId="124519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<sst xmlns="http://schemas.openxmlformats.org/spreadsheetml/2006/main" count="99" uniqueCount="50">
  <si>
    <t>Sales and Profit by Region (Completed &amp; Paid orders only)</t>
  </si>
  <si>
    <t>region</t>
  </si>
  <si>
    <t>total_sales</t>
  </si>
  <si>
    <t>total_profit</t>
  </si>
  <si>
    <t>order_count</t>
  </si>
  <si>
    <t>South</t>
  </si>
  <si>
    <t>West</t>
  </si>
  <si>
    <t>East</t>
  </si>
  <si>
    <t>North</t>
  </si>
  <si>
    <t>Unknown</t>
  </si>
  <si>
    <t>Sales and Profit by Category &amp; Sub-Category (Completed &amp; Paid orders only)</t>
  </si>
  <si>
    <t>category</t>
  </si>
  <si>
    <t>sub_category</t>
  </si>
  <si>
    <t>Furniture</t>
  </si>
  <si>
    <t>Chairs</t>
  </si>
  <si>
    <t>Furnishings</t>
  </si>
  <si>
    <t>Tables</t>
  </si>
  <si>
    <t>Bookcases</t>
  </si>
  <si>
    <t>Office Supplies</t>
  </si>
  <si>
    <t>Storage</t>
  </si>
  <si>
    <t>Paper</t>
  </si>
  <si>
    <t>Binders</t>
  </si>
  <si>
    <t>Art</t>
  </si>
  <si>
    <t>Labels</t>
  </si>
  <si>
    <t>Technology</t>
  </si>
  <si>
    <t>Copiers</t>
  </si>
  <si>
    <t>Phones</t>
  </si>
  <si>
    <t>Accessories</t>
  </si>
  <si>
    <t>Machines</t>
  </si>
  <si>
    <t>Order Count by Ship Mode (All cleaned records)</t>
  </si>
  <si>
    <t>ship_mode</t>
  </si>
  <si>
    <t>Standard Class</t>
  </si>
  <si>
    <t>First Class</t>
  </si>
  <si>
    <t>Second Class</t>
  </si>
  <si>
    <t>Same Day</t>
  </si>
  <si>
    <t>Profit Margin by Customer Segment (Completed &amp; Paid orders only)</t>
  </si>
  <si>
    <t>segment</t>
  </si>
  <si>
    <t>avg_profit_margin</t>
  </si>
  <si>
    <t>Home Office</t>
  </si>
  <si>
    <t>Corporate</t>
  </si>
  <si>
    <t>Consumer</t>
  </si>
  <si>
    <t>Small Business</t>
  </si>
  <si>
    <t>Refunded / Cancelled / Failed Orders by Region</t>
  </si>
  <si>
    <t>status_bucket</t>
  </si>
  <si>
    <t>Cancelled</t>
  </si>
  <si>
    <t>Failed Payment</t>
  </si>
  <si>
    <t>Refunded</t>
  </si>
  <si>
    <t>Monthly Sales Trend (Completed &amp; Paid orders only)</t>
  </si>
  <si>
    <t>order_year</t>
  </si>
  <si>
    <t>order_month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</si>
</sst>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charset val="1"/>
    </font>
    <font>
      <b/>
      <sz val="14"/>
      <color rgb="FF305496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/>
      <c:pieChart>
        <c:varyColors val="1"/>
        <c:ser>
          <c:idx val="0"/>
          <c:order val="0"/>
          <c:tx>
            <c:strRef>
              <c:f>'Sales-Profit by Region'!$B$3</c:f>
              <c:strCache>
                <c:ptCount val="1"/>
                <c:pt idx="0">
                  <c:v>total_sales</c:v>
                </c:pt>
              </c:strCache>
            </c:strRef>
          </c:tx>
          <c:cat>
            <c:strRef>
              <c:f>'Sales-Profit by Region'!$A$4:$A$8</c:f>
              <c:strCache>
                <c:ptCount val="5"/>
                <c:pt idx="0">
                  <c:v>South</c:v>
                </c:pt>
                <c:pt idx="1">
                  <c:v>West</c:v>
                </c:pt>
                <c:pt idx="2">
                  <c:v>East</c:v>
                </c:pt>
                <c:pt idx="3">
                  <c:v>North</c:v>
                </c:pt>
                <c:pt idx="4">
                  <c:v>Unknown</c:v>
                </c:pt>
              </c:strCache>
            </c:strRef>
          </c:cat>
          <c:val>
            <c:numRef>
              <c:f>'Sales-Profit by Region'!$B$4:$B$8</c:f>
              <c:numCache>
                <c:formatCode>General</c:formatCode>
                <c:ptCount val="5"/>
                <c:pt idx="0">
                  <c:v>1603517.86</c:v>
                </c:pt>
                <c:pt idx="1">
                  <c:v>1502507.17</c:v>
                </c:pt>
                <c:pt idx="2">
                  <c:v>1382906.9</c:v>
                </c:pt>
                <c:pt idx="3">
                  <c:v>1284273.72</c:v>
                </c:pt>
                <c:pt idx="4">
                  <c:v>187898.45</c:v>
                </c:pt>
              </c:numCache>
            </c:numRef>
          </c:val>
        </c:ser>
        <c:ser>
          <c:idx val="1"/>
          <c:order val="1"/>
          <c:tx>
            <c:strRef>
              <c:f>'Sales-Profit by Region'!$C$3</c:f>
              <c:strCache>
                <c:ptCount val="1"/>
                <c:pt idx="0">
                  <c:v>total_profit</c:v>
                </c:pt>
              </c:strCache>
            </c:strRef>
          </c:tx>
          <c:cat>
            <c:strRef>
              <c:f>'Sales-Profit by Region'!$A$4:$A$8</c:f>
              <c:strCache>
                <c:ptCount val="5"/>
                <c:pt idx="0">
                  <c:v>South</c:v>
                </c:pt>
                <c:pt idx="1">
                  <c:v>West</c:v>
                </c:pt>
                <c:pt idx="2">
                  <c:v>East</c:v>
                </c:pt>
                <c:pt idx="3">
                  <c:v>North</c:v>
                </c:pt>
                <c:pt idx="4">
                  <c:v>Unknown</c:v>
                </c:pt>
              </c:strCache>
            </c:strRef>
          </c:cat>
          <c:val>
            <c:numRef>
              <c:f>'Sales-Profit by Region'!$C$4:$C$8</c:f>
              <c:numCache>
                <c:formatCode>General</c:formatCode>
                <c:ptCount val="5"/>
                <c:pt idx="0">
                  <c:v>430035.82</c:v>
                </c:pt>
                <c:pt idx="1">
                  <c:v>433402.23</c:v>
                </c:pt>
                <c:pt idx="2">
                  <c:v>416097.52</c:v>
                </c:pt>
                <c:pt idx="3">
                  <c:v>380690.33</c:v>
                </c:pt>
                <c:pt idx="4">
                  <c:v>63943.18</c:v>
                </c:pt>
              </c:numCache>
            </c:numRef>
          </c:val>
        </c:ser>
        <c:ser>
          <c:idx val="2"/>
          <c:order val="2"/>
          <c:tx>
            <c:strRef>
              <c:f>'Sales-Profit by Region'!$D$3</c:f>
              <c:strCache>
                <c:ptCount val="1"/>
                <c:pt idx="0">
                  <c:v>order_count</c:v>
                </c:pt>
              </c:strCache>
            </c:strRef>
          </c:tx>
          <c:cat>
            <c:strRef>
              <c:f>'Sales-Profit by Region'!$A$4:$A$8</c:f>
              <c:strCache>
                <c:ptCount val="5"/>
                <c:pt idx="0">
                  <c:v>South</c:v>
                </c:pt>
                <c:pt idx="1">
                  <c:v>West</c:v>
                </c:pt>
                <c:pt idx="2">
                  <c:v>East</c:v>
                </c:pt>
                <c:pt idx="3">
                  <c:v>North</c:v>
                </c:pt>
                <c:pt idx="4">
                  <c:v>Unknown</c:v>
                </c:pt>
              </c:strCache>
            </c:strRef>
          </c:cat>
          <c:val>
            <c:numRef>
              <c:f>'Sales-Profit by Region'!$D$4:$D$8</c:f>
              <c:numCache>
                <c:formatCode>General</c:formatCode>
                <c:ptCount val="5"/>
                <c:pt idx="0">
                  <c:v>153</c:v>
                </c:pt>
                <c:pt idx="1">
                  <c:v>153</c:v>
                </c:pt>
                <c:pt idx="2">
                  <c:v>149</c:v>
                </c:pt>
                <c:pt idx="3">
                  <c:v>128</c:v>
                </c:pt>
                <c:pt idx="4">
                  <c:v>19</c:v>
                </c:pt>
              </c:numCache>
            </c:numRef>
          </c:val>
        </c:ser>
        <c:firstSliceAng val="0"/>
      </c:pieChart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strRef>
              <c:f>'Sales-Profit by Category'!$C$3</c:f>
              <c:strCache>
                <c:ptCount val="1"/>
                <c:pt idx="0">
                  <c:v>total_sales</c:v>
                </c:pt>
              </c:strCache>
            </c:strRef>
          </c:tx>
          <c:cat>
            <c:multiLvlStrRef>
              <c:f>'Sales-Profit by Category'!$A$4:$B$16</c:f>
              <c:multiLvlStrCache>
                <c:ptCount val="13"/>
                <c:lvl>
                  <c:pt idx="0">
                    <c:v>Chairs</c:v>
                  </c:pt>
                  <c:pt idx="1">
                    <c:v>Furnishings</c:v>
                  </c:pt>
                  <c:pt idx="2">
                    <c:v>Tables</c:v>
                  </c:pt>
                  <c:pt idx="3">
                    <c:v>Bookcases</c:v>
                  </c:pt>
                  <c:pt idx="4">
                    <c:v>Storage</c:v>
                  </c:pt>
                  <c:pt idx="5">
                    <c:v>Paper</c:v>
                  </c:pt>
                  <c:pt idx="6">
                    <c:v>Binders</c:v>
                  </c:pt>
                  <c:pt idx="7">
                    <c:v>Art</c:v>
                  </c:pt>
                  <c:pt idx="8">
                    <c:v>Labels</c:v>
                  </c:pt>
                  <c:pt idx="9">
                    <c:v>Copiers</c:v>
                  </c:pt>
                  <c:pt idx="10">
                    <c:v>Phones</c:v>
                  </c:pt>
                  <c:pt idx="11">
                    <c:v>Accessories</c:v>
                  </c:pt>
                  <c:pt idx="12">
                    <c:v>Machines</c:v>
                  </c:pt>
                </c:lvl>
                <c:lvl>
                  <c:pt idx="0">
                    <c:v>Furniture</c:v>
                  </c:pt>
                  <c:pt idx="1">
                    <c:v>Furniture</c:v>
                  </c:pt>
                  <c:pt idx="2">
                    <c:v>Furniture</c:v>
                  </c:pt>
                  <c:pt idx="3">
                    <c:v>Furniture</c:v>
                  </c:pt>
                  <c:pt idx="4">
                    <c:v>Office Supplies</c:v>
                  </c:pt>
                  <c:pt idx="5">
                    <c:v>Office Supplies</c:v>
                  </c:pt>
                  <c:pt idx="6">
                    <c:v>Office Supplies</c:v>
                  </c:pt>
                  <c:pt idx="7">
                    <c:v>Office Supplies</c:v>
                  </c:pt>
                  <c:pt idx="8">
                    <c:v>Office Supplies</c:v>
                  </c:pt>
                  <c:pt idx="9">
                    <c:v>Technology</c:v>
                  </c:pt>
                  <c:pt idx="10">
                    <c:v>Technology</c:v>
                  </c:pt>
                  <c:pt idx="11">
                    <c:v>Technology</c:v>
                  </c:pt>
                  <c:pt idx="12">
                    <c:v>Technology</c:v>
                  </c:pt>
                </c:lvl>
              </c:multiLvlStrCache>
            </c:multiLvlStrRef>
          </c:cat>
          <c:val>
            <c:numRef>
              <c:f>'Sales-Profit by Category'!$C$4:$C$16</c:f>
              <c:numCache>
                <c:formatCode>General</c:formatCode>
                <c:ptCount val="13"/>
                <c:pt idx="0">
                  <c:v>583968.67000000004</c:v>
                </c:pt>
                <c:pt idx="1">
                  <c:v>503021.37</c:v>
                </c:pt>
                <c:pt idx="2">
                  <c:v>420185.34</c:v>
                </c:pt>
                <c:pt idx="3">
                  <c:v>419190.88</c:v>
                </c:pt>
                <c:pt idx="4">
                  <c:v>548897.05000000005</c:v>
                </c:pt>
                <c:pt idx="5">
                  <c:v>447884.4</c:v>
                </c:pt>
                <c:pt idx="6">
                  <c:v>342853.56</c:v>
                </c:pt>
                <c:pt idx="7">
                  <c:v>301657.86</c:v>
                </c:pt>
                <c:pt idx="8">
                  <c:v>209170.51</c:v>
                </c:pt>
                <c:pt idx="9">
                  <c:v>669423.22</c:v>
                </c:pt>
                <c:pt idx="10">
                  <c:v>572972.39</c:v>
                </c:pt>
                <c:pt idx="11">
                  <c:v>524750.76</c:v>
                </c:pt>
                <c:pt idx="12">
                  <c:v>417128.09</c:v>
                </c:pt>
              </c:numCache>
            </c:numRef>
          </c:val>
        </c:ser>
        <c:ser>
          <c:idx val="1"/>
          <c:order val="1"/>
          <c:tx>
            <c:strRef>
              <c:f>'Sales-Profit by Category'!$D$3</c:f>
              <c:strCache>
                <c:ptCount val="1"/>
                <c:pt idx="0">
                  <c:v>total_profit</c:v>
                </c:pt>
              </c:strCache>
            </c:strRef>
          </c:tx>
          <c:cat>
            <c:multiLvlStrRef>
              <c:f>'Sales-Profit by Category'!$A$4:$B$16</c:f>
              <c:multiLvlStrCache>
                <c:ptCount val="13"/>
                <c:lvl>
                  <c:pt idx="0">
                    <c:v>Chairs</c:v>
                  </c:pt>
                  <c:pt idx="1">
                    <c:v>Furnishings</c:v>
                  </c:pt>
                  <c:pt idx="2">
                    <c:v>Tables</c:v>
                  </c:pt>
                  <c:pt idx="3">
                    <c:v>Bookcases</c:v>
                  </c:pt>
                  <c:pt idx="4">
                    <c:v>Storage</c:v>
                  </c:pt>
                  <c:pt idx="5">
                    <c:v>Paper</c:v>
                  </c:pt>
                  <c:pt idx="6">
                    <c:v>Binders</c:v>
                  </c:pt>
                  <c:pt idx="7">
                    <c:v>Art</c:v>
                  </c:pt>
                  <c:pt idx="8">
                    <c:v>Labels</c:v>
                  </c:pt>
                  <c:pt idx="9">
                    <c:v>Copiers</c:v>
                  </c:pt>
                  <c:pt idx="10">
                    <c:v>Phones</c:v>
                  </c:pt>
                  <c:pt idx="11">
                    <c:v>Accessories</c:v>
                  </c:pt>
                  <c:pt idx="12">
                    <c:v>Machines</c:v>
                  </c:pt>
                </c:lvl>
                <c:lvl>
                  <c:pt idx="0">
                    <c:v>Furniture</c:v>
                  </c:pt>
                  <c:pt idx="1">
                    <c:v>Furniture</c:v>
                  </c:pt>
                  <c:pt idx="2">
                    <c:v>Furniture</c:v>
                  </c:pt>
                  <c:pt idx="3">
                    <c:v>Furniture</c:v>
                  </c:pt>
                  <c:pt idx="4">
                    <c:v>Office Supplies</c:v>
                  </c:pt>
                  <c:pt idx="5">
                    <c:v>Office Supplies</c:v>
                  </c:pt>
                  <c:pt idx="6">
                    <c:v>Office Supplies</c:v>
                  </c:pt>
                  <c:pt idx="7">
                    <c:v>Office Supplies</c:v>
                  </c:pt>
                  <c:pt idx="8">
                    <c:v>Office Supplies</c:v>
                  </c:pt>
                  <c:pt idx="9">
                    <c:v>Technology</c:v>
                  </c:pt>
                  <c:pt idx="10">
                    <c:v>Technology</c:v>
                  </c:pt>
                  <c:pt idx="11">
                    <c:v>Technology</c:v>
                  </c:pt>
                  <c:pt idx="12">
                    <c:v>Technology</c:v>
                  </c:pt>
                </c:lvl>
              </c:multiLvlStrCache>
            </c:multiLvlStrRef>
          </c:cat>
          <c:val>
            <c:numRef>
              <c:f>'Sales-Profit by Category'!$D$4:$D$16</c:f>
              <c:numCache>
                <c:formatCode>General</c:formatCode>
                <c:ptCount val="13"/>
                <c:pt idx="0">
                  <c:v>175651.44</c:v>
                </c:pt>
                <c:pt idx="1">
                  <c:v>146832.73000000001</c:v>
                </c:pt>
                <c:pt idx="2">
                  <c:v>127253.7</c:v>
                </c:pt>
                <c:pt idx="3">
                  <c:v>114188.85</c:v>
                </c:pt>
                <c:pt idx="4">
                  <c:v>141591.72</c:v>
                </c:pt>
                <c:pt idx="5">
                  <c:v>123501.06</c:v>
                </c:pt>
                <c:pt idx="6">
                  <c:v>109222.19</c:v>
                </c:pt>
                <c:pt idx="7">
                  <c:v>81266.2</c:v>
                </c:pt>
                <c:pt idx="8">
                  <c:v>65166.6</c:v>
                </c:pt>
                <c:pt idx="9">
                  <c:v>193357.88</c:v>
                </c:pt>
                <c:pt idx="10">
                  <c:v>157480.72</c:v>
                </c:pt>
                <c:pt idx="11">
                  <c:v>152659.76999999999</c:v>
                </c:pt>
                <c:pt idx="12">
                  <c:v>135996.22</c:v>
                </c:pt>
              </c:numCache>
            </c:numRef>
          </c:val>
        </c:ser>
        <c:ser>
          <c:idx val="2"/>
          <c:order val="2"/>
          <c:tx>
            <c:strRef>
              <c:f>'Sales-Profit by Category'!$E$3</c:f>
              <c:strCache>
                <c:ptCount val="1"/>
                <c:pt idx="0">
                  <c:v>order_count</c:v>
                </c:pt>
              </c:strCache>
            </c:strRef>
          </c:tx>
          <c:cat>
            <c:multiLvlStrRef>
              <c:f>'Sales-Profit by Category'!$A$4:$B$16</c:f>
              <c:multiLvlStrCache>
                <c:ptCount val="13"/>
                <c:lvl>
                  <c:pt idx="0">
                    <c:v>Chairs</c:v>
                  </c:pt>
                  <c:pt idx="1">
                    <c:v>Furnishings</c:v>
                  </c:pt>
                  <c:pt idx="2">
                    <c:v>Tables</c:v>
                  </c:pt>
                  <c:pt idx="3">
                    <c:v>Bookcases</c:v>
                  </c:pt>
                  <c:pt idx="4">
                    <c:v>Storage</c:v>
                  </c:pt>
                  <c:pt idx="5">
                    <c:v>Paper</c:v>
                  </c:pt>
                  <c:pt idx="6">
                    <c:v>Binders</c:v>
                  </c:pt>
                  <c:pt idx="7">
                    <c:v>Art</c:v>
                  </c:pt>
                  <c:pt idx="8">
                    <c:v>Labels</c:v>
                  </c:pt>
                  <c:pt idx="9">
                    <c:v>Copiers</c:v>
                  </c:pt>
                  <c:pt idx="10">
                    <c:v>Phones</c:v>
                  </c:pt>
                  <c:pt idx="11">
                    <c:v>Accessories</c:v>
                  </c:pt>
                  <c:pt idx="12">
                    <c:v>Machines</c:v>
                  </c:pt>
                </c:lvl>
                <c:lvl>
                  <c:pt idx="0">
                    <c:v>Furniture</c:v>
                  </c:pt>
                  <c:pt idx="1">
                    <c:v>Furniture</c:v>
                  </c:pt>
                  <c:pt idx="2">
                    <c:v>Furniture</c:v>
                  </c:pt>
                  <c:pt idx="3">
                    <c:v>Furniture</c:v>
                  </c:pt>
                  <c:pt idx="4">
                    <c:v>Office Supplies</c:v>
                  </c:pt>
                  <c:pt idx="5">
                    <c:v>Office Supplies</c:v>
                  </c:pt>
                  <c:pt idx="6">
                    <c:v>Office Supplies</c:v>
                  </c:pt>
                  <c:pt idx="7">
                    <c:v>Office Supplies</c:v>
                  </c:pt>
                  <c:pt idx="8">
                    <c:v>Office Supplies</c:v>
                  </c:pt>
                  <c:pt idx="9">
                    <c:v>Technology</c:v>
                  </c:pt>
                  <c:pt idx="10">
                    <c:v>Technology</c:v>
                  </c:pt>
                  <c:pt idx="11">
                    <c:v>Technology</c:v>
                  </c:pt>
                  <c:pt idx="12">
                    <c:v>Technology</c:v>
                  </c:pt>
                </c:lvl>
              </c:multiLvlStrCache>
            </c:multiLvlStrRef>
          </c:cat>
          <c:val>
            <c:numRef>
              <c:f>'Sales-Profit by Category'!$E$4:$E$16</c:f>
              <c:numCache>
                <c:formatCode>General</c:formatCode>
                <c:ptCount val="13"/>
                <c:pt idx="0">
                  <c:v>56</c:v>
                </c:pt>
                <c:pt idx="1">
                  <c:v>51</c:v>
                </c:pt>
                <c:pt idx="2">
                  <c:v>49</c:v>
                </c:pt>
                <c:pt idx="3">
                  <c:v>43</c:v>
                </c:pt>
                <c:pt idx="4">
                  <c:v>55</c:v>
                </c:pt>
                <c:pt idx="5">
                  <c:v>42</c:v>
                </c:pt>
                <c:pt idx="6">
                  <c:v>34</c:v>
                </c:pt>
                <c:pt idx="7">
                  <c:v>29</c:v>
                </c:pt>
                <c:pt idx="8">
                  <c:v>30</c:v>
                </c:pt>
                <c:pt idx="9">
                  <c:v>66</c:v>
                </c:pt>
                <c:pt idx="10">
                  <c:v>53</c:v>
                </c:pt>
                <c:pt idx="11">
                  <c:v>47</c:v>
                </c:pt>
                <c:pt idx="12">
                  <c:v>47</c:v>
                </c:pt>
              </c:numCache>
            </c:numRef>
          </c:val>
        </c:ser>
        <c:axId val="98024448"/>
        <c:axId val="98028160"/>
      </c:barChart>
      <c:catAx>
        <c:axId val="98024448"/>
        <c:scaling>
          <c:orientation val="minMax"/>
        </c:scaling>
        <c:axPos val="b"/>
        <c:tickLblPos val="nextTo"/>
        <c:crossAx val="98028160"/>
        <c:crosses val="autoZero"/>
        <c:auto val="1"/>
        <c:lblAlgn val="ctr"/>
        <c:lblOffset val="100"/>
      </c:catAx>
      <c:valAx>
        <c:axId val="98028160"/>
        <c:scaling>
          <c:orientation val="minMax"/>
        </c:scaling>
        <c:axPos val="l"/>
        <c:majorGridlines/>
        <c:numFmt formatCode="General" sourceLinked="1"/>
        <c:tickLblPos val="nextTo"/>
        <c:crossAx val="9802444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/>
      <c:pieChart>
        <c:varyColors val="1"/>
        <c:ser>
          <c:idx val="0"/>
          <c:order val="0"/>
          <c:tx>
            <c:strRef>
              <c:f>'Profit Margin by Segment'!$B$3</c:f>
              <c:strCache>
                <c:ptCount val="1"/>
                <c:pt idx="0">
                  <c:v>total_sales</c:v>
                </c:pt>
              </c:strCache>
            </c:strRef>
          </c:tx>
          <c:cat>
            <c:strRef>
              <c:f>'Profit Margin by Segment'!$A$4:$A$7</c:f>
              <c:strCache>
                <c:ptCount val="4"/>
                <c:pt idx="0">
                  <c:v>Home Office</c:v>
                </c:pt>
                <c:pt idx="1">
                  <c:v>Corporate</c:v>
                </c:pt>
                <c:pt idx="2">
                  <c:v>Consumer</c:v>
                </c:pt>
                <c:pt idx="3">
                  <c:v>Small Business</c:v>
                </c:pt>
              </c:strCache>
            </c:strRef>
          </c:cat>
          <c:val>
            <c:numRef>
              <c:f>'Profit Margin by Segment'!$B$4:$B$7</c:f>
              <c:numCache>
                <c:formatCode>General</c:formatCode>
                <c:ptCount val="4"/>
                <c:pt idx="0">
                  <c:v>1552597.35</c:v>
                </c:pt>
                <c:pt idx="1">
                  <c:v>1311409.53</c:v>
                </c:pt>
                <c:pt idx="2">
                  <c:v>1444048.01</c:v>
                </c:pt>
                <c:pt idx="3">
                  <c:v>1653049.21</c:v>
                </c:pt>
              </c:numCache>
            </c:numRef>
          </c:val>
        </c:ser>
        <c:ser>
          <c:idx val="1"/>
          <c:order val="1"/>
          <c:tx>
            <c:strRef>
              <c:f>'Profit Margin by Segment'!$C$3</c:f>
              <c:strCache>
                <c:ptCount val="1"/>
                <c:pt idx="0">
                  <c:v>total_profit</c:v>
                </c:pt>
              </c:strCache>
            </c:strRef>
          </c:tx>
          <c:cat>
            <c:strRef>
              <c:f>'Profit Margin by Segment'!$A$4:$A$7</c:f>
              <c:strCache>
                <c:ptCount val="4"/>
                <c:pt idx="0">
                  <c:v>Home Office</c:v>
                </c:pt>
                <c:pt idx="1">
                  <c:v>Corporate</c:v>
                </c:pt>
                <c:pt idx="2">
                  <c:v>Consumer</c:v>
                </c:pt>
                <c:pt idx="3">
                  <c:v>Small Business</c:v>
                </c:pt>
              </c:strCache>
            </c:strRef>
          </c:cat>
          <c:val>
            <c:numRef>
              <c:f>'Profit Margin by Segment'!$C$4:$C$7</c:f>
              <c:numCache>
                <c:formatCode>General</c:formatCode>
                <c:ptCount val="4"/>
                <c:pt idx="0">
                  <c:v>462535.46</c:v>
                </c:pt>
                <c:pt idx="1">
                  <c:v>385376.53</c:v>
                </c:pt>
                <c:pt idx="2">
                  <c:v>409372.71</c:v>
                </c:pt>
                <c:pt idx="3">
                  <c:v>466884.38</c:v>
                </c:pt>
              </c:numCache>
            </c:numRef>
          </c:val>
        </c:ser>
        <c:ser>
          <c:idx val="2"/>
          <c:order val="2"/>
          <c:tx>
            <c:strRef>
              <c:f>'Profit Margin by Segment'!$D$3</c:f>
              <c:strCache>
                <c:ptCount val="1"/>
                <c:pt idx="0">
                  <c:v>order_count</c:v>
                </c:pt>
              </c:strCache>
            </c:strRef>
          </c:tx>
          <c:cat>
            <c:strRef>
              <c:f>'Profit Margin by Segment'!$A$4:$A$7</c:f>
              <c:strCache>
                <c:ptCount val="4"/>
                <c:pt idx="0">
                  <c:v>Home Office</c:v>
                </c:pt>
                <c:pt idx="1">
                  <c:v>Corporate</c:v>
                </c:pt>
                <c:pt idx="2">
                  <c:v>Consumer</c:v>
                </c:pt>
                <c:pt idx="3">
                  <c:v>Small Business</c:v>
                </c:pt>
              </c:strCache>
            </c:strRef>
          </c:cat>
          <c:val>
            <c:numRef>
              <c:f>'Profit Margin by Segment'!$D$4:$D$7</c:f>
              <c:numCache>
                <c:formatCode>General</c:formatCode>
                <c:ptCount val="4"/>
                <c:pt idx="0">
                  <c:v>162</c:v>
                </c:pt>
                <c:pt idx="1">
                  <c:v>135</c:v>
                </c:pt>
                <c:pt idx="2">
                  <c:v>147</c:v>
                </c:pt>
                <c:pt idx="3">
                  <c:v>158</c:v>
                </c:pt>
              </c:numCache>
            </c:numRef>
          </c:val>
        </c:ser>
        <c:ser>
          <c:idx val="3"/>
          <c:order val="3"/>
          <c:tx>
            <c:strRef>
              <c:f>'Profit Margin by Segment'!$E$3</c:f>
              <c:strCache>
                <c:ptCount val="1"/>
                <c:pt idx="0">
                  <c:v>avg_profit_margin</c:v>
                </c:pt>
              </c:strCache>
            </c:strRef>
          </c:tx>
          <c:cat>
            <c:strRef>
              <c:f>'Profit Margin by Segment'!$A$4:$A$7</c:f>
              <c:strCache>
                <c:ptCount val="4"/>
                <c:pt idx="0">
                  <c:v>Home Office</c:v>
                </c:pt>
                <c:pt idx="1">
                  <c:v>Corporate</c:v>
                </c:pt>
                <c:pt idx="2">
                  <c:v>Consumer</c:v>
                </c:pt>
                <c:pt idx="3">
                  <c:v>Small Business</c:v>
                </c:pt>
              </c:strCache>
            </c:strRef>
          </c:cat>
          <c:val>
            <c:numRef>
              <c:f>'Profit Margin by Segment'!$E$4:$E$7</c:f>
              <c:numCache>
                <c:formatCode>General</c:formatCode>
                <c:ptCount val="4"/>
                <c:pt idx="0">
                  <c:v>0.2979</c:v>
                </c:pt>
                <c:pt idx="1">
                  <c:v>0.29389999999999999</c:v>
                </c:pt>
                <c:pt idx="2">
                  <c:v>0.28349999999999997</c:v>
                </c:pt>
                <c:pt idx="3">
                  <c:v>0.28239999999999998</c:v>
                </c:pt>
              </c:numCache>
            </c:numRef>
          </c:val>
        </c:ser>
        <c:firstSliceAng val="0"/>
      </c:pieChart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</xdr:colOff>
      <xdr:row>8</xdr:row>
      <xdr:rowOff>106680</xdr:rowOff>
    </xdr:from>
    <xdr:to>
      <xdr:col>11</xdr:col>
      <xdr:colOff>426720</xdr:colOff>
      <xdr:row>23</xdr:row>
      <xdr:rowOff>106680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83820</xdr:colOff>
      <xdr:row>9</xdr:row>
      <xdr:rowOff>106680</xdr:rowOff>
    </xdr:from>
    <xdr:to>
      <xdr:col>14</xdr:col>
      <xdr:colOff>495300</xdr:colOff>
      <xdr:row>24</xdr:row>
      <xdr:rowOff>106680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</xdr:colOff>
      <xdr:row>8</xdr:row>
      <xdr:rowOff>106680</xdr:rowOff>
    </xdr:from>
    <xdr:to>
      <xdr:col>10</xdr:col>
      <xdr:colOff>381000</xdr:colOff>
      <xdr:row>23</xdr:row>
      <xdr:rowOff>106680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4" name="RegionSummary" displayName="RegionSummary" ref="A3:D8" totalsRowShown="0">
  <autoFilter ref="A3:D8"/>
  <tableColumns count="4">
    <tableColumn id="1" name="region"/>
    <tableColumn id="2" name="total_sales"/>
    <tableColumn id="3" name="total_profit"/>
    <tableColumn id="4" name="order_cou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1" name="CategorySummary" displayName="CategorySummary" ref="A3:E16" totalsRowShown="0">
  <autoFilter ref="A3:E16"/>
  <tableColumns count="5">
    <tableColumn id="1" name="category"/>
    <tableColumn id="2" name="sub_category"/>
    <tableColumn id="3" name="total_sales"/>
    <tableColumn id="4" name="total_profit"/>
    <tableColumn id="5" name="order_coun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6" name="ShipModeSummary" displayName="ShipModeSummary" ref="A3:B8" totalsRowShown="0">
  <autoFilter ref="A3:B8"/>
  <tableColumns count="2">
    <tableColumn id="1" name="ship_mode"/>
    <tableColumn id="2" name="order_count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5" name="SegmentSummary" displayName="SegmentSummary" ref="A3:E7" totalsRowShown="0">
  <autoFilter ref="A3:E7"/>
  <tableColumns count="5">
    <tableColumn id="1" name="segment"/>
    <tableColumn id="2" name="total_sales"/>
    <tableColumn id="3" name="total_profit"/>
    <tableColumn id="4" name="order_count"/>
    <tableColumn id="5" name="avg_profit_margin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3" name="RefundCancelFailSummary" displayName="RefundCancelFailSummary" ref="A3:C18" totalsRowShown="0">
  <autoFilter ref="A3:C18"/>
  <tableColumns count="3">
    <tableColumn id="1" name="region"/>
    <tableColumn id="2" name="status_bucket"/>
    <tableColumn id="3" name="order_count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2" name="MonthlyTrend" displayName="MonthlyTrend" ref="A3:D25" totalsRowShown="0">
  <autoFilter ref="A3:D25"/>
  <tableColumns count="4">
    <tableColumn id="1" name="order_year"/>
    <tableColumn id="2" name="order_month"/>
    <tableColumn id="3" name="total_sales"/>
    <tableColumn id="4" name="order_coun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showGridLines="0" workbookViewId="0">
      <selection activeCell="T19" sqref="T19"/>
    </sheetView>
  </sheetViews>
  <sheetFormatPr defaultColWidth="8.6640625" defaultRowHeight="14.4"/>
  <cols>
    <col min="1" max="4" width="18" customWidth="1"/>
  </cols>
  <sheetData>
    <row r="1" spans="1:4" ht="17.399999999999999">
      <c r="A1" s="1" t="s">
        <v>0</v>
      </c>
    </row>
    <row r="3" spans="1:4">
      <c r="A3" s="2" t="s">
        <v>1</v>
      </c>
      <c r="B3" s="2" t="s">
        <v>2</v>
      </c>
      <c r="C3" s="2" t="s">
        <v>3</v>
      </c>
      <c r="D3" s="2" t="s">
        <v>4</v>
      </c>
    </row>
    <row r="4" spans="1:4">
      <c r="A4" s="3" t="s">
        <v>5</v>
      </c>
      <c r="B4" s="3">
        <v>1603517.86</v>
      </c>
      <c r="C4" s="3">
        <v>430035.82</v>
      </c>
      <c r="D4" s="3">
        <v>153</v>
      </c>
    </row>
    <row r="5" spans="1:4">
      <c r="A5" s="3" t="s">
        <v>6</v>
      </c>
      <c r="B5" s="3">
        <v>1502507.17</v>
      </c>
      <c r="C5" s="3">
        <v>433402.23</v>
      </c>
      <c r="D5" s="3">
        <v>153</v>
      </c>
    </row>
    <row r="6" spans="1:4">
      <c r="A6" s="3" t="s">
        <v>7</v>
      </c>
      <c r="B6" s="3">
        <v>1382906.9</v>
      </c>
      <c r="C6" s="3">
        <v>416097.52</v>
      </c>
      <c r="D6" s="3">
        <v>149</v>
      </c>
    </row>
    <row r="7" spans="1:4">
      <c r="A7" s="3" t="s">
        <v>8</v>
      </c>
      <c r="B7" s="3">
        <v>1284273.72</v>
      </c>
      <c r="C7" s="3">
        <v>380690.33</v>
      </c>
      <c r="D7" s="3">
        <v>128</v>
      </c>
    </row>
    <row r="8" spans="1:4">
      <c r="A8" s="3" t="s">
        <v>9</v>
      </c>
      <c r="B8" s="3">
        <v>187898.45</v>
      </c>
      <c r="C8" s="3">
        <v>63943.18</v>
      </c>
      <c r="D8" s="3">
        <v>19</v>
      </c>
    </row>
  </sheetData>
  <pageMargins left="0.75" right="0.75" top="1" bottom="1" header="0.511811023622047" footer="0.511811023622047"/>
  <pageSetup paperSize="9" orientation="portrait" horizontalDpi="300" verticalDpi="300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E16"/>
  <sheetViews>
    <sheetView showGridLines="0" workbookViewId="0">
      <selection activeCell="M7" sqref="M7"/>
    </sheetView>
  </sheetViews>
  <sheetFormatPr defaultColWidth="8.6640625" defaultRowHeight="14.4"/>
  <cols>
    <col min="1" max="5" width="18" customWidth="1"/>
  </cols>
  <sheetData>
    <row r="1" spans="1:5" ht="17.399999999999999">
      <c r="A1" s="1" t="s">
        <v>10</v>
      </c>
    </row>
    <row r="3" spans="1:5">
      <c r="A3" s="2" t="s">
        <v>11</v>
      </c>
      <c r="B3" s="2" t="s">
        <v>12</v>
      </c>
      <c r="C3" s="2" t="s">
        <v>2</v>
      </c>
      <c r="D3" s="2" t="s">
        <v>3</v>
      </c>
      <c r="E3" s="2" t="s">
        <v>4</v>
      </c>
    </row>
    <row r="4" spans="1:5">
      <c r="A4" s="3" t="s">
        <v>13</v>
      </c>
      <c r="B4" s="3" t="s">
        <v>14</v>
      </c>
      <c r="C4" s="3">
        <v>583968.67000000004</v>
      </c>
      <c r="D4" s="3">
        <v>175651.44</v>
      </c>
      <c r="E4" s="3">
        <v>56</v>
      </c>
    </row>
    <row r="5" spans="1:5">
      <c r="A5" s="3" t="s">
        <v>13</v>
      </c>
      <c r="B5" s="3" t="s">
        <v>15</v>
      </c>
      <c r="C5" s="3">
        <v>503021.37</v>
      </c>
      <c r="D5" s="3">
        <v>146832.73000000001</v>
      </c>
      <c r="E5" s="3">
        <v>51</v>
      </c>
    </row>
    <row r="6" spans="1:5">
      <c r="A6" s="3" t="s">
        <v>13</v>
      </c>
      <c r="B6" s="3" t="s">
        <v>16</v>
      </c>
      <c r="C6" s="3">
        <v>420185.34</v>
      </c>
      <c r="D6" s="3">
        <v>127253.7</v>
      </c>
      <c r="E6" s="3">
        <v>49</v>
      </c>
    </row>
    <row r="7" spans="1:5">
      <c r="A7" s="3" t="s">
        <v>13</v>
      </c>
      <c r="B7" s="3" t="s">
        <v>17</v>
      </c>
      <c r="C7" s="3">
        <v>419190.88</v>
      </c>
      <c r="D7" s="3">
        <v>114188.85</v>
      </c>
      <c r="E7" s="3">
        <v>43</v>
      </c>
    </row>
    <row r="8" spans="1:5">
      <c r="A8" s="3" t="s">
        <v>18</v>
      </c>
      <c r="B8" s="3" t="s">
        <v>19</v>
      </c>
      <c r="C8" s="3">
        <v>548897.05000000005</v>
      </c>
      <c r="D8" s="3">
        <v>141591.72</v>
      </c>
      <c r="E8" s="3">
        <v>55</v>
      </c>
    </row>
    <row r="9" spans="1:5">
      <c r="A9" s="3" t="s">
        <v>18</v>
      </c>
      <c r="B9" s="3" t="s">
        <v>20</v>
      </c>
      <c r="C9" s="3">
        <v>447884.4</v>
      </c>
      <c r="D9" s="3">
        <v>123501.06</v>
      </c>
      <c r="E9" s="3">
        <v>42</v>
      </c>
    </row>
    <row r="10" spans="1:5">
      <c r="A10" s="3" t="s">
        <v>18</v>
      </c>
      <c r="B10" s="3" t="s">
        <v>21</v>
      </c>
      <c r="C10" s="3">
        <v>342853.56</v>
      </c>
      <c r="D10" s="3">
        <v>109222.19</v>
      </c>
      <c r="E10" s="3">
        <v>34</v>
      </c>
    </row>
    <row r="11" spans="1:5">
      <c r="A11" s="3" t="s">
        <v>18</v>
      </c>
      <c r="B11" s="3" t="s">
        <v>22</v>
      </c>
      <c r="C11" s="3">
        <v>301657.86</v>
      </c>
      <c r="D11" s="3">
        <v>81266.2</v>
      </c>
      <c r="E11" s="3">
        <v>29</v>
      </c>
    </row>
    <row r="12" spans="1:5">
      <c r="A12" s="3" t="s">
        <v>18</v>
      </c>
      <c r="B12" s="3" t="s">
        <v>23</v>
      </c>
      <c r="C12" s="3">
        <v>209170.51</v>
      </c>
      <c r="D12" s="3">
        <v>65166.6</v>
      </c>
      <c r="E12" s="3">
        <v>30</v>
      </c>
    </row>
    <row r="13" spans="1:5">
      <c r="A13" s="3" t="s">
        <v>24</v>
      </c>
      <c r="B13" s="3" t="s">
        <v>25</v>
      </c>
      <c r="C13" s="3">
        <v>669423.22</v>
      </c>
      <c r="D13" s="3">
        <v>193357.88</v>
      </c>
      <c r="E13" s="3">
        <v>66</v>
      </c>
    </row>
    <row r="14" spans="1:5">
      <c r="A14" s="3" t="s">
        <v>24</v>
      </c>
      <c r="B14" s="3" t="s">
        <v>26</v>
      </c>
      <c r="C14" s="3">
        <v>572972.39</v>
      </c>
      <c r="D14" s="3">
        <v>157480.72</v>
      </c>
      <c r="E14" s="3">
        <v>53</v>
      </c>
    </row>
    <row r="15" spans="1:5">
      <c r="A15" s="3" t="s">
        <v>24</v>
      </c>
      <c r="B15" s="3" t="s">
        <v>27</v>
      </c>
      <c r="C15" s="3">
        <v>524750.76</v>
      </c>
      <c r="D15" s="3">
        <v>152659.76999999999</v>
      </c>
      <c r="E15" s="3">
        <v>47</v>
      </c>
    </row>
    <row r="16" spans="1:5">
      <c r="A16" s="3" t="s">
        <v>24</v>
      </c>
      <c r="B16" s="3" t="s">
        <v>28</v>
      </c>
      <c r="C16" s="3">
        <v>417128.09</v>
      </c>
      <c r="D16" s="3">
        <v>135996.22</v>
      </c>
      <c r="E16" s="3">
        <v>47</v>
      </c>
    </row>
  </sheetData>
  <pageMargins left="0.75" right="0.75" top="1" bottom="1" header="0.511811023622047" footer="0.511811023622047"/>
  <pageSetup paperSize="9" orientation="portrait" horizontalDpi="300" verticalDpi="300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showGridLines="0" workbookViewId="0">
      <selection activeCell="A3" sqref="A3"/>
    </sheetView>
  </sheetViews>
  <sheetFormatPr defaultColWidth="8.6640625" defaultRowHeight="14.4"/>
  <cols>
    <col min="1" max="2" width="18" customWidth="1"/>
  </cols>
  <sheetData>
    <row r="1" spans="1:2" ht="17.399999999999999">
      <c r="A1" s="1" t="s">
        <v>29</v>
      </c>
    </row>
    <row r="3" spans="1:2">
      <c r="A3" s="2" t="s">
        <v>30</v>
      </c>
      <c r="B3" s="2" t="s">
        <v>4</v>
      </c>
    </row>
    <row r="4" spans="1:2">
      <c r="A4" s="3" t="s">
        <v>31</v>
      </c>
      <c r="B4" s="3">
        <v>242</v>
      </c>
    </row>
    <row r="5" spans="1:2">
      <c r="A5" s="3" t="s">
        <v>32</v>
      </c>
      <c r="B5" s="3">
        <v>223</v>
      </c>
    </row>
    <row r="6" spans="1:2">
      <c r="A6" s="3" t="s">
        <v>33</v>
      </c>
      <c r="B6" s="3">
        <v>222</v>
      </c>
    </row>
    <row r="7" spans="1:2">
      <c r="A7" s="3" t="s">
        <v>34</v>
      </c>
      <c r="B7" s="3">
        <v>204</v>
      </c>
    </row>
    <row r="8" spans="1:2">
      <c r="A8" s="3" t="s">
        <v>9</v>
      </c>
      <c r="B8" s="3">
        <v>21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E7"/>
  <sheetViews>
    <sheetView showGridLines="0" workbookViewId="0">
      <selection activeCell="N19" sqref="N19"/>
    </sheetView>
  </sheetViews>
  <sheetFormatPr defaultColWidth="8.6640625" defaultRowHeight="14.4"/>
  <cols>
    <col min="1" max="5" width="18" customWidth="1"/>
  </cols>
  <sheetData>
    <row r="1" spans="1:5" ht="17.399999999999999">
      <c r="A1" s="1" t="s">
        <v>35</v>
      </c>
    </row>
    <row r="3" spans="1:5">
      <c r="A3" s="2" t="s">
        <v>36</v>
      </c>
      <c r="B3" s="2" t="s">
        <v>2</v>
      </c>
      <c r="C3" s="2" t="s">
        <v>3</v>
      </c>
      <c r="D3" s="2" t="s">
        <v>4</v>
      </c>
      <c r="E3" s="2" t="s">
        <v>37</v>
      </c>
    </row>
    <row r="4" spans="1:5">
      <c r="A4" s="3" t="s">
        <v>38</v>
      </c>
      <c r="B4" s="3">
        <v>1552597.35</v>
      </c>
      <c r="C4" s="3">
        <v>462535.46</v>
      </c>
      <c r="D4" s="3">
        <v>162</v>
      </c>
      <c r="E4" s="3">
        <v>0.2979</v>
      </c>
    </row>
    <row r="5" spans="1:5">
      <c r="A5" s="3" t="s">
        <v>39</v>
      </c>
      <c r="B5" s="3">
        <v>1311409.53</v>
      </c>
      <c r="C5" s="3">
        <v>385376.53</v>
      </c>
      <c r="D5" s="3">
        <v>135</v>
      </c>
      <c r="E5" s="3">
        <v>0.29389999999999999</v>
      </c>
    </row>
    <row r="6" spans="1:5">
      <c r="A6" s="3" t="s">
        <v>40</v>
      </c>
      <c r="B6" s="3">
        <v>1444048.01</v>
      </c>
      <c r="C6" s="3">
        <v>409372.71</v>
      </c>
      <c r="D6" s="3">
        <v>147</v>
      </c>
      <c r="E6" s="3">
        <v>0.28349999999999997</v>
      </c>
    </row>
    <row r="7" spans="1:5">
      <c r="A7" s="3" t="s">
        <v>41</v>
      </c>
      <c r="B7" s="3">
        <v>1653049.21</v>
      </c>
      <c r="C7" s="3">
        <v>466884.38</v>
      </c>
      <c r="D7" s="3">
        <v>158</v>
      </c>
      <c r="E7" s="3">
        <v>0.28239999999999998</v>
      </c>
    </row>
  </sheetData>
  <pageMargins left="0.75" right="0.75" top="1" bottom="1" header="0.511811023622047" footer="0.511811023622047"/>
  <pageSetup paperSize="9" orientation="portrait" horizontalDpi="300" verticalDpi="300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C18"/>
  <sheetViews>
    <sheetView showGridLines="0" tabSelected="1" workbookViewId="0"/>
  </sheetViews>
  <sheetFormatPr defaultColWidth="8.6640625" defaultRowHeight="14.4"/>
  <cols>
    <col min="1" max="3" width="18" customWidth="1"/>
  </cols>
  <sheetData>
    <row r="1" spans="1:3" ht="17.399999999999999">
      <c r="A1" s="1" t="s">
        <v>42</v>
      </c>
    </row>
    <row r="3" spans="1:3">
      <c r="A3" s="2" t="s">
        <v>1</v>
      </c>
      <c r="B3" s="2" t="s">
        <v>43</v>
      </c>
      <c r="C3" s="2" t="s">
        <v>4</v>
      </c>
    </row>
    <row r="4" spans="1:3">
      <c r="A4" s="3" t="s">
        <v>7</v>
      </c>
      <c r="B4" s="3" t="s">
        <v>44</v>
      </c>
      <c r="C4" s="3">
        <v>24</v>
      </c>
    </row>
    <row r="5" spans="1:3">
      <c r="A5" s="3" t="s">
        <v>7</v>
      </c>
      <c r="B5" s="3" t="s">
        <v>45</v>
      </c>
      <c r="C5" s="3">
        <v>8</v>
      </c>
    </row>
    <row r="6" spans="1:3">
      <c r="A6" s="3" t="s">
        <v>7</v>
      </c>
      <c r="B6" s="3" t="s">
        <v>46</v>
      </c>
      <c r="C6" s="3">
        <v>14</v>
      </c>
    </row>
    <row r="7" spans="1:3">
      <c r="A7" s="3" t="s">
        <v>8</v>
      </c>
      <c r="B7" s="3" t="s">
        <v>44</v>
      </c>
      <c r="C7" s="3">
        <v>35</v>
      </c>
    </row>
    <row r="8" spans="1:3">
      <c r="A8" s="3" t="s">
        <v>8</v>
      </c>
      <c r="B8" s="3" t="s">
        <v>45</v>
      </c>
      <c r="C8" s="3">
        <v>8</v>
      </c>
    </row>
    <row r="9" spans="1:3">
      <c r="A9" s="3" t="s">
        <v>8</v>
      </c>
      <c r="B9" s="3" t="s">
        <v>46</v>
      </c>
      <c r="C9" s="3">
        <v>20</v>
      </c>
    </row>
    <row r="10" spans="1:3">
      <c r="A10" s="3" t="s">
        <v>5</v>
      </c>
      <c r="B10" s="3" t="s">
        <v>44</v>
      </c>
      <c r="C10" s="3">
        <v>24</v>
      </c>
    </row>
    <row r="11" spans="1:3">
      <c r="A11" s="3" t="s">
        <v>5</v>
      </c>
      <c r="B11" s="3" t="s">
        <v>45</v>
      </c>
      <c r="C11" s="3">
        <v>13</v>
      </c>
    </row>
    <row r="12" spans="1:3">
      <c r="A12" s="3" t="s">
        <v>5</v>
      </c>
      <c r="B12" s="3" t="s">
        <v>46</v>
      </c>
      <c r="C12" s="3">
        <v>20</v>
      </c>
    </row>
    <row r="13" spans="1:3">
      <c r="A13" s="3" t="s">
        <v>9</v>
      </c>
      <c r="B13" s="3" t="s">
        <v>44</v>
      </c>
      <c r="C13" s="3">
        <v>1</v>
      </c>
    </row>
    <row r="14" spans="1:3">
      <c r="A14" s="3" t="s">
        <v>9</v>
      </c>
      <c r="B14" s="3" t="s">
        <v>45</v>
      </c>
      <c r="C14" s="3">
        <v>1</v>
      </c>
    </row>
    <row r="15" spans="1:3">
      <c r="A15" s="3" t="s">
        <v>9</v>
      </c>
      <c r="B15" s="3" t="s">
        <v>46</v>
      </c>
      <c r="C15" s="3">
        <v>3</v>
      </c>
    </row>
    <row r="16" spans="1:3">
      <c r="A16" s="3" t="s">
        <v>6</v>
      </c>
      <c r="B16" s="3" t="s">
        <v>44</v>
      </c>
      <c r="C16" s="3">
        <v>24</v>
      </c>
    </row>
    <row r="17" spans="1:3">
      <c r="A17" s="3" t="s">
        <v>6</v>
      </c>
      <c r="B17" s="3" t="s">
        <v>45</v>
      </c>
      <c r="C17" s="3">
        <v>7</v>
      </c>
    </row>
    <row r="18" spans="1:3">
      <c r="A18" s="3" t="s">
        <v>6</v>
      </c>
      <c r="B18" s="3" t="s">
        <v>46</v>
      </c>
      <c r="C18" s="3">
        <v>14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D25"/>
  <sheetViews>
    <sheetView showGridLines="0" workbookViewId="0"/>
  </sheetViews>
  <sheetFormatPr defaultColWidth="8.6640625" defaultRowHeight="14.4"/>
  <cols>
    <col min="1" max="4" width="18" customWidth="1"/>
  </cols>
  <sheetData>
    <row r="1" spans="1:4" ht="17.399999999999999">
      <c r="A1" s="1" t="s">
        <v>47</v>
      </c>
    </row>
    <row r="3" spans="1:4">
      <c r="A3" s="2" t="s">
        <v>48</v>
      </c>
      <c r="B3" s="2" t="s">
        <v>49</v>
      </c>
      <c r="C3" s="2" t="s">
        <v>2</v>
      </c>
      <c r="D3" s="2" t="s">
        <v>4</v>
      </c>
    </row>
    <row r="4" spans="1:4">
      <c r="A4" s="3">
        <v>2024</v>
      </c>
      <c r="B4" s="3">
        <v>1</v>
      </c>
      <c r="C4" s="3">
        <v>248870.16</v>
      </c>
      <c r="D4" s="3">
        <v>28</v>
      </c>
    </row>
    <row r="5" spans="1:4">
      <c r="A5" s="3">
        <v>2024</v>
      </c>
      <c r="B5" s="3">
        <v>2</v>
      </c>
      <c r="C5" s="3">
        <v>264023.65000000002</v>
      </c>
      <c r="D5" s="3">
        <v>28</v>
      </c>
    </row>
    <row r="6" spans="1:4">
      <c r="A6" s="3">
        <v>2024</v>
      </c>
      <c r="B6" s="3">
        <v>3</v>
      </c>
      <c r="C6" s="3">
        <v>246354.08</v>
      </c>
      <c r="D6" s="3">
        <v>27</v>
      </c>
    </row>
    <row r="7" spans="1:4">
      <c r="A7" s="3">
        <v>2024</v>
      </c>
      <c r="B7" s="3">
        <v>4</v>
      </c>
      <c r="C7" s="3">
        <v>241541.5</v>
      </c>
      <c r="D7" s="3">
        <v>21</v>
      </c>
    </row>
    <row r="8" spans="1:4">
      <c r="A8" s="3">
        <v>2024</v>
      </c>
      <c r="B8" s="3">
        <v>5</v>
      </c>
      <c r="C8" s="3">
        <v>348789.53</v>
      </c>
      <c r="D8" s="3">
        <v>34</v>
      </c>
    </row>
    <row r="9" spans="1:4">
      <c r="A9" s="3">
        <v>2024</v>
      </c>
      <c r="B9" s="3">
        <v>6</v>
      </c>
      <c r="C9" s="3">
        <v>394179.71</v>
      </c>
      <c r="D9" s="3">
        <v>33</v>
      </c>
    </row>
    <row r="10" spans="1:4">
      <c r="A10" s="3">
        <v>2024</v>
      </c>
      <c r="B10" s="3">
        <v>7</v>
      </c>
      <c r="C10" s="3">
        <v>235720.31</v>
      </c>
      <c r="D10" s="3">
        <v>27</v>
      </c>
    </row>
    <row r="11" spans="1:4">
      <c r="A11" s="3">
        <v>2024</v>
      </c>
      <c r="B11" s="3">
        <v>8</v>
      </c>
      <c r="C11" s="3">
        <v>241428.64</v>
      </c>
      <c r="D11" s="3">
        <v>30</v>
      </c>
    </row>
    <row r="12" spans="1:4">
      <c r="A12" s="3">
        <v>2024</v>
      </c>
      <c r="B12" s="3">
        <v>9</v>
      </c>
      <c r="C12" s="3">
        <v>226234.25</v>
      </c>
      <c r="D12" s="3">
        <v>23</v>
      </c>
    </row>
    <row r="13" spans="1:4">
      <c r="A13" s="3">
        <v>2024</v>
      </c>
      <c r="B13" s="3">
        <v>10</v>
      </c>
      <c r="C13" s="3">
        <v>343529.21</v>
      </c>
      <c r="D13" s="3">
        <v>30</v>
      </c>
    </row>
    <row r="14" spans="1:4">
      <c r="A14" s="3">
        <v>2024</v>
      </c>
      <c r="B14" s="3">
        <v>11</v>
      </c>
      <c r="C14" s="3">
        <v>260061.67</v>
      </c>
      <c r="D14" s="3">
        <v>23</v>
      </c>
    </row>
    <row r="15" spans="1:4">
      <c r="A15" s="3">
        <v>2024</v>
      </c>
      <c r="B15" s="3">
        <v>12</v>
      </c>
      <c r="C15" s="3">
        <v>201157.14</v>
      </c>
      <c r="D15" s="3">
        <v>24</v>
      </c>
    </row>
    <row r="16" spans="1:4">
      <c r="A16" s="3">
        <v>2025</v>
      </c>
      <c r="B16" s="3">
        <v>1</v>
      </c>
      <c r="C16" s="3">
        <v>272116.39</v>
      </c>
      <c r="D16" s="3">
        <v>27</v>
      </c>
    </row>
    <row r="17" spans="1:4">
      <c r="A17" s="3">
        <v>2025</v>
      </c>
      <c r="B17" s="3">
        <v>2</v>
      </c>
      <c r="C17" s="3">
        <v>394995.69</v>
      </c>
      <c r="D17" s="3">
        <v>39</v>
      </c>
    </row>
    <row r="18" spans="1:4">
      <c r="A18" s="3">
        <v>2025</v>
      </c>
      <c r="B18" s="3">
        <v>3</v>
      </c>
      <c r="C18" s="3">
        <v>322614.28000000003</v>
      </c>
      <c r="D18" s="3">
        <v>27</v>
      </c>
    </row>
    <row r="19" spans="1:4">
      <c r="A19" s="3">
        <v>2025</v>
      </c>
      <c r="B19" s="3">
        <v>4</v>
      </c>
      <c r="C19" s="3">
        <v>293107.40000000002</v>
      </c>
      <c r="D19" s="3">
        <v>35</v>
      </c>
    </row>
    <row r="20" spans="1:4">
      <c r="A20" s="3">
        <v>2025</v>
      </c>
      <c r="B20" s="3">
        <v>5</v>
      </c>
      <c r="C20" s="3">
        <v>246177.85</v>
      </c>
      <c r="D20" s="3">
        <v>24</v>
      </c>
    </row>
    <row r="21" spans="1:4">
      <c r="A21" s="3">
        <v>2025</v>
      </c>
      <c r="B21" s="3">
        <v>6</v>
      </c>
      <c r="C21" s="3">
        <v>219979</v>
      </c>
      <c r="D21" s="3">
        <v>27</v>
      </c>
    </row>
    <row r="22" spans="1:4">
      <c r="A22" s="3">
        <v>2025</v>
      </c>
      <c r="B22" s="3">
        <v>7</v>
      </c>
      <c r="C22" s="3">
        <v>258764.05</v>
      </c>
      <c r="D22" s="3">
        <v>23</v>
      </c>
    </row>
    <row r="23" spans="1:4">
      <c r="A23" s="3">
        <v>2025</v>
      </c>
      <c r="B23" s="3">
        <v>8</v>
      </c>
      <c r="C23" s="3">
        <v>262335.28000000003</v>
      </c>
      <c r="D23" s="3">
        <v>33</v>
      </c>
    </row>
    <row r="24" spans="1:4">
      <c r="A24" s="3">
        <v>2025</v>
      </c>
      <c r="B24" s="3">
        <v>9</v>
      </c>
      <c r="C24" s="3">
        <v>317689.5</v>
      </c>
      <c r="D24" s="3">
        <v>29</v>
      </c>
    </row>
    <row r="25" spans="1:4">
      <c r="A25" s="3">
        <v>2025</v>
      </c>
      <c r="B25" s="3">
        <v>10</v>
      </c>
      <c r="C25" s="3">
        <v>121434.81</v>
      </c>
      <c r="D25" s="3">
        <v>10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Sales-Profit by Region</vt:lpstr>
      <vt:lpstr>Sales-Profit by Category</vt:lpstr>
      <vt:lpstr>Order Count by Ship Mode</vt:lpstr>
      <vt:lpstr>Profit Margin by Segment</vt:lpstr>
      <vt:lpstr>Refund-Cancel-Fail by Region</vt:lpstr>
      <vt:lpstr>Monthly Sales Trend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Win</cp:lastModifiedBy>
  <cp:revision>0</cp:revision>
  <dcterms:created xsi:type="dcterms:W3CDTF">2026-06-20T09:43:27Z</dcterms:created>
  <dcterms:modified xsi:type="dcterms:W3CDTF">2026-06-20T10:18:24Z</dcterms:modified>
  <dc:language>en-US</dc:language>
</cp:coreProperties>
</file>